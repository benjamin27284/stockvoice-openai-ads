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raining\oversea\openai ads\api_env_test\"/>
    </mc:Choice>
  </mc:AlternateContent>
  <xr:revisionPtr revIDLastSave="0" documentId="11_59E0673CEA07C9042A111EC18EB24AC2A64815D4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總覽" sheetId="1" r:id="rId1"/>
    <sheet name="意圖樹" sheetId="2" r:id="rId2"/>
    <sheet name="每則廣告" sheetId="3" r:id="rId3"/>
    <sheet name="裝置拆分" sheetId="4" r:id="rId4"/>
    <sheet name="每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F12" i="5"/>
  <c r="F11" i="5"/>
  <c r="F10" i="5"/>
  <c r="F9" i="5"/>
  <c r="F8" i="5"/>
  <c r="F7" i="5"/>
  <c r="F6" i="5"/>
  <c r="F5" i="5"/>
  <c r="F4" i="5"/>
  <c r="F3" i="5"/>
  <c r="F2" i="5"/>
  <c r="E17" i="4"/>
  <c r="F17" i="4" s="1"/>
  <c r="D17" i="4"/>
  <c r="E16" i="4"/>
  <c r="F16" i="4" s="1"/>
  <c r="D16" i="4"/>
  <c r="F13" i="4"/>
  <c r="F12" i="4"/>
  <c r="F11" i="4"/>
  <c r="F10" i="4"/>
  <c r="F9" i="4"/>
  <c r="F8" i="4"/>
  <c r="F7" i="4"/>
  <c r="F6" i="4"/>
  <c r="F5" i="4"/>
  <c r="F4" i="4"/>
  <c r="F3" i="4"/>
  <c r="F2" i="4"/>
  <c r="I12" i="3"/>
  <c r="I11" i="3"/>
  <c r="I10" i="3"/>
  <c r="I9" i="3"/>
  <c r="I8" i="3"/>
  <c r="I7" i="3"/>
  <c r="I6" i="3"/>
  <c r="I5" i="3"/>
  <c r="I4" i="3"/>
  <c r="I3" i="3"/>
  <c r="I2" i="3"/>
  <c r="D22" i="2"/>
  <c r="E22" i="2" s="1"/>
  <c r="C22" i="2"/>
  <c r="F22" i="2" s="1"/>
  <c r="D21" i="2"/>
  <c r="E21" i="2" s="1"/>
  <c r="C21" i="2"/>
  <c r="F21" i="2" s="1"/>
  <c r="D20" i="2"/>
  <c r="E20" i="2" s="1"/>
  <c r="C20" i="2"/>
  <c r="F20" i="2" s="1"/>
  <c r="D19" i="2"/>
  <c r="C19" i="2"/>
  <c r="D18" i="2"/>
  <c r="E18" i="2" s="1"/>
  <c r="C18" i="2"/>
  <c r="F18" i="2" s="1"/>
  <c r="D17" i="2"/>
  <c r="C17" i="2"/>
  <c r="D16" i="2"/>
  <c r="E16" i="2" s="1"/>
  <c r="C16" i="2"/>
  <c r="F16" i="2" s="1"/>
  <c r="E15" i="2"/>
  <c r="D15" i="2"/>
  <c r="C15" i="2"/>
  <c r="D14" i="2"/>
  <c r="E14" i="2" s="1"/>
  <c r="C14" i="2"/>
  <c r="F14" i="2" s="1"/>
  <c r="E13" i="2"/>
  <c r="D13" i="2"/>
  <c r="C13" i="2"/>
  <c r="D12" i="2"/>
  <c r="E12" i="2" s="1"/>
  <c r="C12" i="2"/>
  <c r="F12" i="2" s="1"/>
  <c r="E11" i="2"/>
  <c r="D11" i="2"/>
  <c r="C11" i="2"/>
  <c r="D10" i="2"/>
  <c r="E10" i="2" s="1"/>
  <c r="C10" i="2"/>
  <c r="F10" i="2" s="1"/>
  <c r="D9" i="2"/>
  <c r="E9" i="2" s="1"/>
  <c r="C9" i="2"/>
  <c r="F9" i="2" s="1"/>
  <c r="D8" i="2"/>
  <c r="E8" i="2" s="1"/>
  <c r="C8" i="2"/>
  <c r="F8" i="2" s="1"/>
  <c r="E7" i="2"/>
  <c r="D7" i="2"/>
  <c r="C7" i="2"/>
  <c r="D6" i="2"/>
  <c r="E6" i="2" s="1"/>
  <c r="C6" i="2"/>
  <c r="F6" i="2" s="1"/>
  <c r="E5" i="2"/>
  <c r="D5" i="2"/>
  <c r="C5" i="2"/>
  <c r="D4" i="2"/>
  <c r="E4" i="2" s="1"/>
  <c r="C4" i="2"/>
  <c r="F4" i="2" s="1"/>
  <c r="D3" i="2"/>
  <c r="E3" i="2" s="1"/>
  <c r="C3" i="2"/>
  <c r="F3" i="2" s="1"/>
  <c r="D2" i="2"/>
  <c r="E2" i="2" s="1"/>
  <c r="C2" i="2"/>
  <c r="B4" i="1"/>
  <c r="B5" i="1" s="1"/>
  <c r="B3" i="1"/>
  <c r="F19" i="2" l="1"/>
  <c r="E19" i="2"/>
  <c r="F17" i="2"/>
  <c r="E17" i="2"/>
  <c r="F11" i="2"/>
  <c r="F7" i="2"/>
  <c r="F2" i="2"/>
  <c r="F15" i="2"/>
  <c r="F13" i="2"/>
  <c r="F5" i="2"/>
</calcChain>
</file>

<file path=xl/sharedStrings.xml><?xml version="1.0" encoding="utf-8"?>
<sst xmlns="http://schemas.openxmlformats.org/spreadsheetml/2006/main" count="220" uniqueCount="102">
  <si>
    <t>股聲 OpenAI Ads 成效</t>
  </si>
  <si>
    <t>曝光</t>
  </si>
  <si>
    <t>點擊</t>
  </si>
  <si>
    <t>點擊率</t>
  </si>
  <si>
    <t>資料區間</t>
  </si>
  <si>
    <t>2026-10-13 至 2026-10-15</t>
  </si>
  <si>
    <t>投放地區</t>
  </si>
  <si>
    <t>台灣（100% 曝光）</t>
  </si>
  <si>
    <t>備註</t>
  </si>
  <si>
    <t>10-15 為當日資料尚未結算；GA4 目前收不到 utm_source=openai，只有平台端點擊數。</t>
  </si>
  <si>
    <t>工作表</t>
  </si>
  <si>
    <t>意圖樹</t>
  </si>
  <si>
    <t>情境 → 意圖 → 廣告 A/B 版的點擊率</t>
  </si>
  <si>
    <t>每則廣告</t>
  </si>
  <si>
    <t>每則廣告的原始曝光、點擊</t>
  </si>
  <si>
    <t>裝置拆分</t>
  </si>
  <si>
    <t>各意圖在手機與桌機的點擊率</t>
  </si>
  <si>
    <t>每日</t>
  </si>
  <si>
    <t>各意圖每日曝光、點擊</t>
  </si>
  <si>
    <t>資料來源：OpenAI Ads API ad_account/insights，2026-10-15 匯出。STOCKVOICE_US_CONTEXT_CLICK_V5，2026-10-13 至 10-15；10-15 為當日資料尚未結算。藍字＝API 匯出原始數字，黑字＝公式。</t>
  </si>
  <si>
    <t>意圖</t>
  </si>
  <si>
    <t>層級</t>
  </si>
  <si>
    <t>曝光占比</t>
  </si>
  <si>
    <t>股聲 STOCKVOICE_US_CONTEXT_CLICK_V5</t>
  </si>
  <si>
    <t>├ 事件驅動：財報、大盤</t>
  </si>
  <si>
    <t>│ ├ G08 財報前後要不要進出</t>
  </si>
  <si>
    <t>│ │ ├ A 版「财报前后，哪些信息不一样？」</t>
  </si>
  <si>
    <t>│ │ └ B 版「股声：财报前后看各方怎么解读」</t>
  </si>
  <si>
    <t>│ └ G10 大盤崩或過熱要不要先走</t>
  </si>
  <si>
    <t>│    └ B 版「股声：慌的时候看SPY、QQQ多空」</t>
  </si>
  <si>
    <t>├ 已持有：要不要賣</t>
  </si>
  <si>
    <t>│ ├ G02 被套：撐、認賠或攤平</t>
  </si>
  <si>
    <t>│ │ ├ A 版「被套之后，除了等回本还能怎么想？」</t>
  </si>
  <si>
    <t>│ │ └ B 版「股声：被套时看看多空各几位」</t>
  </si>
  <si>
    <t>│ └ G04 賺很多要不要落袋</t>
  </si>
  <si>
    <t>│    ├ A 版「赚了一倍，要不要先落袋？」</t>
  </si>
  <si>
    <t>│    └ B 版「股声：落袋前看多空有没有变」</t>
  </si>
  <si>
    <t>└ 還沒買：要不要進場</t>
  </si>
  <si>
    <t xml:space="preserve">   ├ G01 大漲後還能不能追</t>
  </si>
  <si>
    <t xml:space="preserve">   │ ├ A 版「涨了这么多，是基本面还是情绪？」</t>
  </si>
  <si>
    <t xml:space="preserve">   │ └ B 版「股声：追高前看各方当时怎么说」</t>
  </si>
  <si>
    <t xml:space="preserve">   └ G06 身邊都在聊、怕錯過</t>
  </si>
  <si>
    <t xml:space="preserve">      ├ A 版「群里都在买，他们看中了什么？」</t>
  </si>
  <si>
    <t xml:space="preserve">      └ B 版「股声：美股社群讨论热度看板」</t>
  </si>
  <si>
    <t>說明</t>
  </si>
  <si>
    <t>點擊率標綠門檻</t>
  </si>
  <si>
    <t>同一層依點擊率由高到低排；曝光不到 100 次的廣告樣本小，點擊率僅供參考。</t>
  </si>
  <si>
    <t>點擊率＝點擊 ÷ 曝光；曝光占比＝該列曝光 ÷ 股聲總曝光。</t>
  </si>
  <si>
    <t>廣告名稱</t>
  </si>
  <si>
    <t>情境</t>
  </si>
  <si>
    <t>廣告組</t>
  </si>
  <si>
    <t>版本</t>
  </si>
  <si>
    <t>標題</t>
  </si>
  <si>
    <t>SV_G04_A_CLICK_V5</t>
  </si>
  <si>
    <t>已持有：要不要賣</t>
  </si>
  <si>
    <t>g04_take_profit</t>
  </si>
  <si>
    <t>G04 賺很多要不要落袋</t>
  </si>
  <si>
    <t>A</t>
  </si>
  <si>
    <t>赚了一倍，要不要先落袋？</t>
  </si>
  <si>
    <t>SV_G04_B_CLICK_V5</t>
  </si>
  <si>
    <t>B</t>
  </si>
  <si>
    <t>股声：落袋前看多空有没有变</t>
  </si>
  <si>
    <t>SV_G02_A_CLICK_V5</t>
  </si>
  <si>
    <t>g02_hold_or_cut</t>
  </si>
  <si>
    <t>G02 被套：撐、認賠或攤平</t>
  </si>
  <si>
    <t>被套之后，除了等回本还能怎么想？</t>
  </si>
  <si>
    <t>SV_G08_A_CLICK_V5</t>
  </si>
  <si>
    <t>事件驅動：財報、大盤</t>
  </si>
  <si>
    <t>g08_before_after_earnings</t>
  </si>
  <si>
    <t>G08 財報前後要不要進出</t>
  </si>
  <si>
    <t>财报前后，哪些信息不一样？</t>
  </si>
  <si>
    <t>SV_G01_B_CLICK_V5</t>
  </si>
  <si>
    <t>還沒買：要不要進場</t>
  </si>
  <si>
    <t>g01_buy_after_rally</t>
  </si>
  <si>
    <t>G01 大漲後還能不能追</t>
  </si>
  <si>
    <t>股声：追高前看各方当时怎么说</t>
  </si>
  <si>
    <t>SV_G10_B_CLICK_V5</t>
  </si>
  <si>
    <t>g10_market_panic_or_heat</t>
  </si>
  <si>
    <t>G10 大盤崩或過熱要不要先走</t>
  </si>
  <si>
    <t>股声：慌的时候看SPY、QQQ多空</t>
  </si>
  <si>
    <t>SV_G01_A_CLICK_V5</t>
  </si>
  <si>
    <t>涨了这么多，是基本面还是情绪？</t>
  </si>
  <si>
    <t>SV_G08_B_CLICK_V5</t>
  </si>
  <si>
    <t>股声：财报前后看各方怎么解读</t>
  </si>
  <si>
    <t>SV_G06_B_CLICK_V5</t>
  </si>
  <si>
    <t>g06_everyone_talking</t>
  </si>
  <si>
    <t>G06 身邊都在聊、怕錯過</t>
  </si>
  <si>
    <t>股声：美股社群讨论热度看板</t>
  </si>
  <si>
    <t>SV_G06_A_CLICK_V5</t>
  </si>
  <si>
    <t>群里都在买，他们看中了什么？</t>
  </si>
  <si>
    <t>SV_G02_B_CLICK_V5</t>
  </si>
  <si>
    <t>股声：被套时看看多空各几位</t>
  </si>
  <si>
    <t>裝置</t>
  </si>
  <si>
    <t>手機</t>
  </si>
  <si>
    <t>桌機</t>
  </si>
  <si>
    <t>合計</t>
  </si>
  <si>
    <t>資料來源：OpenAI Ads API ad_account/insights（device 分段），2026-10-15 匯出。STOCKVOICE_US_CONTEXT_CLICK_V5，2026-10-13 至 10-15；10-15 為當日資料尚未結算。藍字＝API 匯出原始數字，黑字＝公式。</t>
  </si>
  <si>
    <t>日期</t>
  </si>
  <si>
    <t>2026-10-13</t>
  </si>
  <si>
    <t>2026-10-14</t>
  </si>
  <si>
    <t>2026-10-15</t>
  </si>
  <si>
    <t>10-15 為當日資料，尚未結算。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</si>
</sst>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新細明體"/>
      <family val="2"/>
      <scheme val="minor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color rgb="FF595959"/>
      <name val="Arial"/>
    </font>
    <font>
      <b/>
      <sz val="10"/>
      <color rgb="FF008000"/>
      <name val="Arial"/>
    </font>
    <font>
      <sz val="10"/>
      <color rgb="FF008000"/>
      <name val="Arial"/>
    </font>
    <font>
      <b/>
      <sz val="14"/>
      <name val="Arial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EF5"/>
      </patternFill>
    </fill>
    <fill>
      <patternFill patternType="solid">
        <fgColor rgb="FFF3F3F3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/>
    <xf numFmtId="0" fontId="1" fillId="0" borderId="0" xfId="0" applyFont="1"/>
    <xf numFmtId="3" fontId="6" fillId="0" borderId="0" xfId="0" applyNumberFormat="1" applyFont="1"/>
    <xf numFmtId="10" fontId="2" fillId="0" borderId="0" xfId="0" applyNumberFormat="1" applyFont="1"/>
    <xf numFmtId="0" fontId="2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/>
    <xf numFmtId="3" fontId="5" fillId="0" borderId="1" xfId="0" applyNumberFormat="1" applyFont="1" applyBorder="1"/>
    <xf numFmtId="10" fontId="1" fillId="0" borderId="1" xfId="0" applyNumberFormat="1" applyFont="1" applyBorder="1"/>
    <xf numFmtId="9" fontId="1" fillId="0" borderId="1" xfId="0" applyNumberFormat="1" applyFont="1" applyBorder="1"/>
    <xf numFmtId="0" fontId="1" fillId="3" borderId="1" xfId="0" applyFont="1" applyFill="1" applyBorder="1"/>
    <xf numFmtId="3" fontId="5" fillId="3" borderId="1" xfId="0" applyNumberFormat="1" applyFont="1" applyFill="1" applyBorder="1"/>
    <xf numFmtId="10" fontId="1" fillId="3" borderId="1" xfId="0" applyNumberFormat="1" applyFont="1" applyFill="1" applyBorder="1"/>
    <xf numFmtId="9" fontId="1" fillId="3" borderId="1" xfId="0" applyNumberFormat="1" applyFont="1" applyFill="1" applyBorder="1"/>
    <xf numFmtId="0" fontId="2" fillId="0" borderId="1" xfId="0" applyFont="1" applyBorder="1"/>
    <xf numFmtId="3" fontId="6" fillId="0" borderId="1" xfId="0" applyNumberFormat="1" applyFont="1" applyBorder="1"/>
    <xf numFmtId="10" fontId="2" fillId="0" borderId="1" xfId="0" applyNumberFormat="1" applyFont="1" applyBorder="1"/>
    <xf numFmtId="9" fontId="2" fillId="0" borderId="1" xfId="0" applyNumberFormat="1" applyFont="1" applyBorder="1"/>
    <xf numFmtId="176" fontId="3" fillId="4" borderId="0" xfId="0" applyNumberFormat="1" applyFont="1" applyFill="1"/>
    <xf numFmtId="3" fontId="3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D9F2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.5" x14ac:dyDescent="0.3"/>
  <cols>
    <col min="1" max="1" width="22" customWidth="1"/>
    <col min="2" max="2" width="14" customWidth="1"/>
  </cols>
  <sheetData>
    <row r="1" spans="1:2" ht="18" x14ac:dyDescent="0.4">
      <c r="A1" s="1" t="s">
        <v>0</v>
      </c>
    </row>
    <row r="3" spans="1:2" x14ac:dyDescent="0.3">
      <c r="A3" s="2" t="s">
        <v>1</v>
      </c>
      <c r="B3" s="3">
        <f>SUM(每則廣告!$G$2:$G$12)</f>
        <v>12943</v>
      </c>
    </row>
    <row r="4" spans="1:2" x14ac:dyDescent="0.3">
      <c r="A4" s="2" t="s">
        <v>2</v>
      </c>
      <c r="B4" s="3">
        <f>SUM(每則廣告!$H$2:$H$12)</f>
        <v>167</v>
      </c>
    </row>
    <row r="5" spans="1:2" x14ac:dyDescent="0.3">
      <c r="A5" s="2" t="s">
        <v>3</v>
      </c>
      <c r="B5" s="4">
        <f>IFERROR(B4/B3,0)</f>
        <v>1.290272734296531E-2</v>
      </c>
    </row>
    <row r="7" spans="1:2" x14ac:dyDescent="0.3">
      <c r="A7" s="2" t="s">
        <v>4</v>
      </c>
      <c r="B7" s="5" t="s">
        <v>5</v>
      </c>
    </row>
    <row r="8" spans="1:2" x14ac:dyDescent="0.3">
      <c r="A8" s="2" t="s">
        <v>6</v>
      </c>
      <c r="B8" s="5" t="s">
        <v>7</v>
      </c>
    </row>
    <row r="9" spans="1:2" x14ac:dyDescent="0.3">
      <c r="A9" s="2" t="s">
        <v>8</v>
      </c>
      <c r="B9" s="5" t="s">
        <v>9</v>
      </c>
    </row>
    <row r="11" spans="1:2" x14ac:dyDescent="0.3">
      <c r="A11" s="2" t="s">
        <v>10</v>
      </c>
    </row>
    <row r="12" spans="1:2" x14ac:dyDescent="0.3">
      <c r="A12" s="5" t="s">
        <v>11</v>
      </c>
      <c r="B12" s="5" t="s">
        <v>12</v>
      </c>
    </row>
    <row r="13" spans="1:2" x14ac:dyDescent="0.3">
      <c r="A13" s="5" t="s">
        <v>13</v>
      </c>
      <c r="B13" s="5" t="s">
        <v>14</v>
      </c>
    </row>
    <row r="14" spans="1:2" x14ac:dyDescent="0.3">
      <c r="A14" s="5" t="s">
        <v>15</v>
      </c>
      <c r="B14" s="5" t="s">
        <v>16</v>
      </c>
    </row>
    <row r="15" spans="1:2" x14ac:dyDescent="0.3">
      <c r="A15" s="5" t="s">
        <v>17</v>
      </c>
      <c r="B15" s="5" t="s">
        <v>18</v>
      </c>
    </row>
    <row r="17" spans="1:1" x14ac:dyDescent="0.3">
      <c r="A17" s="6" t="s">
        <v>19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2" customWidth="1"/>
    <col min="2" max="2" width="6" customWidth="1"/>
    <col min="3" max="3" width="10" customWidth="1"/>
    <col min="4" max="4" width="8" customWidth="1"/>
    <col min="5" max="6" width="10" customWidth="1"/>
  </cols>
  <sheetData>
    <row r="1" spans="1:6" x14ac:dyDescent="0.3">
      <c r="A1" s="7" t="s">
        <v>20</v>
      </c>
      <c r="B1" s="7" t="s">
        <v>21</v>
      </c>
      <c r="C1" s="7" t="s">
        <v>1</v>
      </c>
      <c r="D1" s="7" t="s">
        <v>2</v>
      </c>
      <c r="E1" s="7" t="s">
        <v>3</v>
      </c>
      <c r="F1" s="7" t="s">
        <v>22</v>
      </c>
    </row>
    <row r="2" spans="1:6" x14ac:dyDescent="0.3">
      <c r="A2" s="8" t="s">
        <v>23</v>
      </c>
      <c r="B2" s="8">
        <v>0</v>
      </c>
      <c r="C2" s="9">
        <f>SUM(每則廣告!$G$2:$G$12)</f>
        <v>12943</v>
      </c>
      <c r="D2" s="9">
        <f>SUM(每則廣告!$H$2:$H$12)</f>
        <v>167</v>
      </c>
      <c r="E2" s="10">
        <f t="shared" ref="E2:E22" si="0">IFERROR(D2/C2,0)</f>
        <v>1.290272734296531E-2</v>
      </c>
      <c r="F2" s="11">
        <f t="shared" ref="F2:F22" si="1">IFERROR(C2/$C$2,0)</f>
        <v>1</v>
      </c>
    </row>
    <row r="3" spans="1:6" x14ac:dyDescent="0.3">
      <c r="A3" s="12" t="s">
        <v>24</v>
      </c>
      <c r="B3" s="12">
        <v>1</v>
      </c>
      <c r="C3" s="13">
        <f>SUMIFS(每則廣告!$G$2:$G$12,每則廣告!$B$2:$B$12,"事件驅動：財報、大盤")</f>
        <v>2863</v>
      </c>
      <c r="D3" s="13">
        <f>SUMIFS(每則廣告!$H$2:$H$12,每則廣告!$B$2:$B$12,"事件驅動：財報、大盤")</f>
        <v>50</v>
      </c>
      <c r="E3" s="14">
        <f t="shared" si="0"/>
        <v>1.7464198393293748E-2</v>
      </c>
      <c r="F3" s="15">
        <f t="shared" si="1"/>
        <v>0.22120064899945915</v>
      </c>
    </row>
    <row r="4" spans="1:6" x14ac:dyDescent="0.3">
      <c r="A4" s="16" t="s">
        <v>25</v>
      </c>
      <c r="B4" s="16">
        <v>2</v>
      </c>
      <c r="C4" s="17">
        <f>SUMIFS(每則廣告!$G$2:$G$12,每則廣告!$C$2:$C$12,"g08_before_after_earnings")</f>
        <v>1969</v>
      </c>
      <c r="D4" s="17">
        <f>SUMIFS(每則廣告!$H$2:$H$12,每則廣告!$C$2:$C$12,"g08_before_after_earnings")</f>
        <v>41</v>
      </c>
      <c r="E4" s="18">
        <f t="shared" si="0"/>
        <v>2.0822752666328086E-2</v>
      </c>
      <c r="F4" s="19">
        <f t="shared" si="1"/>
        <v>0.15212856370238739</v>
      </c>
    </row>
    <row r="5" spans="1:6" x14ac:dyDescent="0.3">
      <c r="A5" s="16" t="s">
        <v>26</v>
      </c>
      <c r="B5" s="16">
        <v>3</v>
      </c>
      <c r="C5" s="17">
        <f>SUMIFS(每則廣告!$G$2:$G$12,每則廣告!$A$2:$A$12,"SV_G08_A_CLICK_V5")</f>
        <v>1745</v>
      </c>
      <c r="D5" s="17">
        <f>SUMIFS(每則廣告!$H$2:$H$12,每則廣告!$A$2:$A$12,"SV_G08_A_CLICK_V5")</f>
        <v>37</v>
      </c>
      <c r="E5" s="18">
        <f t="shared" si="0"/>
        <v>2.1203438395415473E-2</v>
      </c>
      <c r="F5" s="19">
        <f t="shared" si="1"/>
        <v>0.13482191145793093</v>
      </c>
    </row>
    <row r="6" spans="1:6" x14ac:dyDescent="0.3">
      <c r="A6" s="16" t="s">
        <v>27</v>
      </c>
      <c r="B6" s="16">
        <v>3</v>
      </c>
      <c r="C6" s="17">
        <f>SUMIFS(每則廣告!$G$2:$G$12,每則廣告!$A$2:$A$12,"SV_G08_B_CLICK_V5")</f>
        <v>224</v>
      </c>
      <c r="D6" s="17">
        <f>SUMIFS(每則廣告!$H$2:$H$12,每則廣告!$A$2:$A$12,"SV_G08_B_CLICK_V5")</f>
        <v>4</v>
      </c>
      <c r="E6" s="18">
        <f t="shared" si="0"/>
        <v>1.7857142857142856E-2</v>
      </c>
      <c r="F6" s="19">
        <f t="shared" si="1"/>
        <v>1.7306652244456464E-2</v>
      </c>
    </row>
    <row r="7" spans="1:6" x14ac:dyDescent="0.3">
      <c r="A7" s="16" t="s">
        <v>28</v>
      </c>
      <c r="B7" s="16">
        <v>2</v>
      </c>
      <c r="C7" s="17">
        <f>SUMIFS(每則廣告!$G$2:$G$12,每則廣告!$C$2:$C$12,"g10_market_panic_or_heat")</f>
        <v>894</v>
      </c>
      <c r="D7" s="17">
        <f>SUMIFS(每則廣告!$H$2:$H$12,每則廣告!$C$2:$C$12,"g10_market_panic_or_heat")</f>
        <v>9</v>
      </c>
      <c r="E7" s="18">
        <f t="shared" si="0"/>
        <v>1.0067114093959731E-2</v>
      </c>
      <c r="F7" s="19">
        <f t="shared" si="1"/>
        <v>6.9072085297071775E-2</v>
      </c>
    </row>
    <row r="8" spans="1:6" x14ac:dyDescent="0.3">
      <c r="A8" s="16" t="s">
        <v>29</v>
      </c>
      <c r="B8" s="16">
        <v>3</v>
      </c>
      <c r="C8" s="17">
        <f>SUMIFS(每則廣告!$G$2:$G$12,每則廣告!$A$2:$A$12,"SV_G10_B_CLICK_V5")</f>
        <v>894</v>
      </c>
      <c r="D8" s="17">
        <f>SUMIFS(每則廣告!$H$2:$H$12,每則廣告!$A$2:$A$12,"SV_G10_B_CLICK_V5")</f>
        <v>9</v>
      </c>
      <c r="E8" s="18">
        <f t="shared" si="0"/>
        <v>1.0067114093959731E-2</v>
      </c>
      <c r="F8" s="19">
        <f t="shared" si="1"/>
        <v>6.9072085297071775E-2</v>
      </c>
    </row>
    <row r="9" spans="1:6" x14ac:dyDescent="0.3">
      <c r="A9" s="12" t="s">
        <v>30</v>
      </c>
      <c r="B9" s="12">
        <v>1</v>
      </c>
      <c r="C9" s="13">
        <f>SUMIFS(每則廣告!$G$2:$G$12,每則廣告!$B$2:$B$12,"已持有：要不要賣")</f>
        <v>1402</v>
      </c>
      <c r="D9" s="13">
        <f>SUMIFS(每則廣告!$H$2:$H$12,每則廣告!$B$2:$B$12,"已持有：要不要賣")</f>
        <v>22</v>
      </c>
      <c r="E9" s="14">
        <f t="shared" si="0"/>
        <v>1.5691868758915834E-2</v>
      </c>
      <c r="F9" s="15">
        <f t="shared" si="1"/>
        <v>0.10832110020860697</v>
      </c>
    </row>
    <row r="10" spans="1:6" x14ac:dyDescent="0.3">
      <c r="A10" s="16" t="s">
        <v>31</v>
      </c>
      <c r="B10" s="16">
        <v>2</v>
      </c>
      <c r="C10" s="17">
        <f>SUMIFS(每則廣告!$G$2:$G$12,每則廣告!$C$2:$C$12,"g02_hold_or_cut")</f>
        <v>533</v>
      </c>
      <c r="D10" s="17">
        <f>SUMIFS(每則廣告!$H$2:$H$12,每則廣告!$C$2:$C$12,"g02_hold_or_cut")</f>
        <v>10</v>
      </c>
      <c r="E10" s="18">
        <f t="shared" si="0"/>
        <v>1.8761726078799251E-2</v>
      </c>
      <c r="F10" s="19">
        <f t="shared" si="1"/>
        <v>4.1180560920961139E-2</v>
      </c>
    </row>
    <row r="11" spans="1:6" x14ac:dyDescent="0.3">
      <c r="A11" s="16" t="s">
        <v>32</v>
      </c>
      <c r="B11" s="16">
        <v>3</v>
      </c>
      <c r="C11" s="17">
        <f>SUMIFS(每則廣告!$G$2:$G$12,每則廣告!$A$2:$A$12,"SV_G02_A_CLICK_V5")</f>
        <v>26</v>
      </c>
      <c r="D11" s="17">
        <f>SUMIFS(每則廣告!$H$2:$H$12,每則廣告!$A$2:$A$12,"SV_G02_A_CLICK_V5")</f>
        <v>1</v>
      </c>
      <c r="E11" s="18">
        <f t="shared" si="0"/>
        <v>3.8461538461538464E-2</v>
      </c>
      <c r="F11" s="19">
        <f t="shared" si="1"/>
        <v>2.0088078498029824E-3</v>
      </c>
    </row>
    <row r="12" spans="1:6" x14ac:dyDescent="0.3">
      <c r="A12" s="16" t="s">
        <v>33</v>
      </c>
      <c r="B12" s="16">
        <v>3</v>
      </c>
      <c r="C12" s="17">
        <f>SUMIFS(每則廣告!$G$2:$G$12,每則廣告!$A$2:$A$12,"SV_G02_B_CLICK_V5")</f>
        <v>507</v>
      </c>
      <c r="D12" s="17">
        <f>SUMIFS(每則廣告!$H$2:$H$12,每則廣告!$A$2:$A$12,"SV_G02_B_CLICK_V5")</f>
        <v>9</v>
      </c>
      <c r="E12" s="18">
        <f t="shared" si="0"/>
        <v>1.7751479289940829E-2</v>
      </c>
      <c r="F12" s="19">
        <f t="shared" si="1"/>
        <v>3.9171753071158152E-2</v>
      </c>
    </row>
    <row r="13" spans="1:6" x14ac:dyDescent="0.3">
      <c r="A13" s="16" t="s">
        <v>34</v>
      </c>
      <c r="B13" s="16">
        <v>2</v>
      </c>
      <c r="C13" s="17">
        <f>SUMIFS(每則廣告!$G$2:$G$12,每則廣告!$C$2:$C$12,"g04_take_profit")</f>
        <v>869</v>
      </c>
      <c r="D13" s="17">
        <f>SUMIFS(每則廣告!$H$2:$H$12,每則廣告!$C$2:$C$12,"g04_take_profit")</f>
        <v>12</v>
      </c>
      <c r="E13" s="18">
        <f t="shared" si="0"/>
        <v>1.3808975834292289E-2</v>
      </c>
      <c r="F13" s="19">
        <f t="shared" si="1"/>
        <v>6.7140539287645837E-2</v>
      </c>
    </row>
    <row r="14" spans="1:6" x14ac:dyDescent="0.3">
      <c r="A14" s="16" t="s">
        <v>35</v>
      </c>
      <c r="B14" s="16">
        <v>3</v>
      </c>
      <c r="C14" s="17">
        <f>SUMIFS(每則廣告!$G$2:$G$12,每則廣告!$A$2:$A$12,"SV_G04_A_CLICK_V5")</f>
        <v>636</v>
      </c>
      <c r="D14" s="17">
        <f>SUMIFS(每則廣告!$H$2:$H$12,每則廣告!$A$2:$A$12,"SV_G04_A_CLICK_V5")</f>
        <v>11</v>
      </c>
      <c r="E14" s="18">
        <f t="shared" si="0"/>
        <v>1.7295597484276729E-2</v>
      </c>
      <c r="F14" s="19">
        <f t="shared" si="1"/>
        <v>4.9138530479796029E-2</v>
      </c>
    </row>
    <row r="15" spans="1:6" x14ac:dyDescent="0.3">
      <c r="A15" s="16" t="s">
        <v>36</v>
      </c>
      <c r="B15" s="16">
        <v>3</v>
      </c>
      <c r="C15" s="17">
        <f>SUMIFS(每則廣告!$G$2:$G$12,每則廣告!$A$2:$A$12,"SV_G04_B_CLICK_V5")</f>
        <v>233</v>
      </c>
      <c r="D15" s="17">
        <f>SUMIFS(每則廣告!$H$2:$H$12,每則廣告!$A$2:$A$12,"SV_G04_B_CLICK_V5")</f>
        <v>1</v>
      </c>
      <c r="E15" s="18">
        <f t="shared" si="0"/>
        <v>4.2918454935622317E-3</v>
      </c>
      <c r="F15" s="19">
        <f t="shared" si="1"/>
        <v>1.8002008807849804E-2</v>
      </c>
    </row>
    <row r="16" spans="1:6" x14ac:dyDescent="0.3">
      <c r="A16" s="12" t="s">
        <v>37</v>
      </c>
      <c r="B16" s="12">
        <v>1</v>
      </c>
      <c r="C16" s="13">
        <f>SUMIFS(每則廣告!$G$2:$G$12,每則廣告!$B$2:$B$12,"還沒買：要不要進場")</f>
        <v>8678</v>
      </c>
      <c r="D16" s="13">
        <f>SUMIFS(每則廣告!$H$2:$H$12,每則廣告!$B$2:$B$12,"還沒買：要不要進場")</f>
        <v>95</v>
      </c>
      <c r="E16" s="14">
        <f t="shared" si="0"/>
        <v>1.0947222862410694E-2</v>
      </c>
      <c r="F16" s="15">
        <f t="shared" si="1"/>
        <v>0.67047825079193391</v>
      </c>
    </row>
    <row r="17" spans="1:6" x14ac:dyDescent="0.3">
      <c r="A17" s="16" t="s">
        <v>38</v>
      </c>
      <c r="B17" s="16">
        <v>2</v>
      </c>
      <c r="C17" s="17">
        <f>SUMIFS(每則廣告!$G$2:$G$12,每則廣告!$C$2:$C$12,"g01_buy_after_rally")</f>
        <v>3460</v>
      </c>
      <c r="D17" s="17">
        <f>SUMIFS(每則廣告!$H$2:$H$12,每則廣告!$C$2:$C$12,"g01_buy_after_rally")</f>
        <v>39</v>
      </c>
      <c r="E17" s="18">
        <f t="shared" si="0"/>
        <v>1.1271676300578034E-2</v>
      </c>
      <c r="F17" s="19">
        <f t="shared" si="1"/>
        <v>0.26732596770455075</v>
      </c>
    </row>
    <row r="18" spans="1:6" x14ac:dyDescent="0.3">
      <c r="A18" s="16" t="s">
        <v>39</v>
      </c>
      <c r="B18" s="16">
        <v>3</v>
      </c>
      <c r="C18" s="17">
        <f>SUMIFS(每則廣告!$G$2:$G$12,每則廣告!$A$2:$A$12,"SV_G01_A_CLICK_V5")</f>
        <v>701</v>
      </c>
      <c r="D18" s="17">
        <f>SUMIFS(每則廣告!$H$2:$H$12,每則廣告!$A$2:$A$12,"SV_G01_A_CLICK_V5")</f>
        <v>7</v>
      </c>
      <c r="E18" s="18">
        <f t="shared" si="0"/>
        <v>9.9857346647646214E-3</v>
      </c>
      <c r="F18" s="19">
        <f t="shared" si="1"/>
        <v>5.4160550104303484E-2</v>
      </c>
    </row>
    <row r="19" spans="1:6" x14ac:dyDescent="0.3">
      <c r="A19" s="16" t="s">
        <v>40</v>
      </c>
      <c r="B19" s="16">
        <v>3</v>
      </c>
      <c r="C19" s="17">
        <f>SUMIFS(每則廣告!$G$2:$G$12,每則廣告!$A$2:$A$12,"SV_G01_B_CLICK_V5")</f>
        <v>2759</v>
      </c>
      <c r="D19" s="17">
        <f>SUMIFS(每則廣告!$H$2:$H$12,每則廣告!$A$2:$A$12,"SV_G01_B_CLICK_V5")</f>
        <v>32</v>
      </c>
      <c r="E19" s="18">
        <f t="shared" si="0"/>
        <v>1.1598405219282348E-2</v>
      </c>
      <c r="F19" s="19">
        <f t="shared" si="1"/>
        <v>0.21316541760024724</v>
      </c>
    </row>
    <row r="20" spans="1:6" x14ac:dyDescent="0.3">
      <c r="A20" s="16" t="s">
        <v>41</v>
      </c>
      <c r="B20" s="16">
        <v>2</v>
      </c>
      <c r="C20" s="17">
        <f>SUMIFS(每則廣告!$G$2:$G$12,每則廣告!$C$2:$C$12,"g06_everyone_talking")</f>
        <v>5218</v>
      </c>
      <c r="D20" s="17">
        <f>SUMIFS(每則廣告!$H$2:$H$12,每則廣告!$C$2:$C$12,"g06_everyone_talking")</f>
        <v>56</v>
      </c>
      <c r="E20" s="18">
        <f t="shared" si="0"/>
        <v>1.0732081257186662E-2</v>
      </c>
      <c r="F20" s="19">
        <f t="shared" si="1"/>
        <v>0.40315228308738316</v>
      </c>
    </row>
    <row r="21" spans="1:6" x14ac:dyDescent="0.3">
      <c r="A21" s="16" t="s">
        <v>42</v>
      </c>
      <c r="B21" s="16">
        <v>3</v>
      </c>
      <c r="C21" s="17">
        <f>SUMIFS(每則廣告!$G$2:$G$12,每則廣告!$A$2:$A$12,"SV_G06_A_CLICK_V5")</f>
        <v>167</v>
      </c>
      <c r="D21" s="17">
        <f>SUMIFS(每則廣告!$H$2:$H$12,每則廣告!$A$2:$A$12,"SV_G06_A_CLICK_V5")</f>
        <v>2</v>
      </c>
      <c r="E21" s="18">
        <f t="shared" si="0"/>
        <v>1.1976047904191617E-2</v>
      </c>
      <c r="F21" s="19">
        <f t="shared" si="1"/>
        <v>1.290272734296531E-2</v>
      </c>
    </row>
    <row r="22" spans="1:6" x14ac:dyDescent="0.3">
      <c r="A22" s="16" t="s">
        <v>43</v>
      </c>
      <c r="B22" s="16">
        <v>3</v>
      </c>
      <c r="C22" s="17">
        <f>SUMIFS(每則廣告!$G$2:$G$12,每則廣告!$A$2:$A$12,"SV_G06_B_CLICK_V5")</f>
        <v>5051</v>
      </c>
      <c r="D22" s="17">
        <f>SUMIFS(每則廣告!$H$2:$H$12,每則廣告!$A$2:$A$12,"SV_G06_B_CLICK_V5")</f>
        <v>54</v>
      </c>
      <c r="E22" s="18">
        <f t="shared" si="0"/>
        <v>1.0690952286675905E-2</v>
      </c>
      <c r="F22" s="19">
        <f t="shared" si="1"/>
        <v>0.39024955574441783</v>
      </c>
    </row>
    <row r="24" spans="1:6" x14ac:dyDescent="0.3">
      <c r="A24" s="2" t="s">
        <v>44</v>
      </c>
    </row>
    <row r="25" spans="1:6" x14ac:dyDescent="0.3">
      <c r="A25" t="s">
        <v>45</v>
      </c>
      <c r="B25" s="20">
        <v>1.4999999999999999E-2</v>
      </c>
    </row>
    <row r="26" spans="1:6" x14ac:dyDescent="0.3">
      <c r="A26" s="5" t="s">
        <v>46</v>
      </c>
    </row>
    <row r="27" spans="1:6" x14ac:dyDescent="0.3">
      <c r="A27" s="5" t="s">
        <v>47</v>
      </c>
    </row>
    <row r="28" spans="1:6" x14ac:dyDescent="0.3">
      <c r="A28" s="6" t="s">
        <v>19</v>
      </c>
    </row>
  </sheetData>
  <phoneticPr fontId="8" type="noConversion"/>
  <conditionalFormatting sqref="E2:E22">
    <cfRule type="expression" dxfId="0" priority="1">
      <formula>E2&gt;=$B$25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22" customWidth="1"/>
    <col min="2" max="2" width="20" customWidth="1"/>
    <col min="3" max="3" width="26" customWidth="1"/>
    <col min="4" max="4" width="24" customWidth="1"/>
    <col min="5" max="5" width="6" customWidth="1"/>
    <col min="6" max="6" width="34" customWidth="1"/>
    <col min="7" max="7" width="10" customWidth="1"/>
    <col min="8" max="8" width="8" customWidth="1"/>
    <col min="9" max="9" width="10" customWidth="1"/>
  </cols>
  <sheetData>
    <row r="1" spans="1:9" x14ac:dyDescent="0.3">
      <c r="A1" s="7" t="s">
        <v>48</v>
      </c>
      <c r="B1" s="7" t="s">
        <v>49</v>
      </c>
      <c r="C1" s="7" t="s">
        <v>50</v>
      </c>
      <c r="D1" s="7" t="s">
        <v>20</v>
      </c>
      <c r="E1" s="7" t="s">
        <v>51</v>
      </c>
      <c r="F1" s="7" t="s">
        <v>52</v>
      </c>
      <c r="G1" s="7" t="s">
        <v>1</v>
      </c>
      <c r="H1" s="7" t="s">
        <v>2</v>
      </c>
      <c r="I1" s="7" t="s">
        <v>3</v>
      </c>
    </row>
    <row r="2" spans="1:9" x14ac:dyDescent="0.3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  <c r="G2" s="21">
        <v>636</v>
      </c>
      <c r="H2" s="21">
        <v>11</v>
      </c>
      <c r="I2" s="4">
        <f t="shared" ref="I2:I12" si="0">IFERROR(H2/G2,0)</f>
        <v>1.7295597484276729E-2</v>
      </c>
    </row>
    <row r="3" spans="1:9" x14ac:dyDescent="0.3">
      <c r="A3" s="5" t="s">
        <v>59</v>
      </c>
      <c r="B3" s="5" t="s">
        <v>54</v>
      </c>
      <c r="C3" s="5" t="s">
        <v>55</v>
      </c>
      <c r="D3" s="5" t="s">
        <v>56</v>
      </c>
      <c r="E3" s="5" t="s">
        <v>60</v>
      </c>
      <c r="F3" s="5" t="s">
        <v>61</v>
      </c>
      <c r="G3" s="21">
        <v>233</v>
      </c>
      <c r="H3" s="21">
        <v>1</v>
      </c>
      <c r="I3" s="4">
        <f t="shared" si="0"/>
        <v>4.2918454935622317E-3</v>
      </c>
    </row>
    <row r="4" spans="1:9" x14ac:dyDescent="0.3">
      <c r="A4" s="5" t="s">
        <v>62</v>
      </c>
      <c r="B4" s="5" t="s">
        <v>54</v>
      </c>
      <c r="C4" s="5" t="s">
        <v>63</v>
      </c>
      <c r="D4" s="5" t="s">
        <v>64</v>
      </c>
      <c r="E4" s="5" t="s">
        <v>57</v>
      </c>
      <c r="F4" s="5" t="s">
        <v>65</v>
      </c>
      <c r="G4" s="21">
        <v>26</v>
      </c>
      <c r="H4" s="21">
        <v>1</v>
      </c>
      <c r="I4" s="4">
        <f t="shared" si="0"/>
        <v>3.8461538461538464E-2</v>
      </c>
    </row>
    <row r="5" spans="1:9" x14ac:dyDescent="0.3">
      <c r="A5" s="5" t="s">
        <v>66</v>
      </c>
      <c r="B5" s="5" t="s">
        <v>67</v>
      </c>
      <c r="C5" s="5" t="s">
        <v>68</v>
      </c>
      <c r="D5" s="5" t="s">
        <v>69</v>
      </c>
      <c r="E5" s="5" t="s">
        <v>57</v>
      </c>
      <c r="F5" s="5" t="s">
        <v>70</v>
      </c>
      <c r="G5" s="21">
        <v>1745</v>
      </c>
      <c r="H5" s="21">
        <v>37</v>
      </c>
      <c r="I5" s="4">
        <f t="shared" si="0"/>
        <v>2.1203438395415473E-2</v>
      </c>
    </row>
    <row r="6" spans="1:9" x14ac:dyDescent="0.3">
      <c r="A6" s="5" t="s">
        <v>71</v>
      </c>
      <c r="B6" s="5" t="s">
        <v>72</v>
      </c>
      <c r="C6" s="5" t="s">
        <v>73</v>
      </c>
      <c r="D6" s="5" t="s">
        <v>74</v>
      </c>
      <c r="E6" s="5" t="s">
        <v>60</v>
      </c>
      <c r="F6" s="5" t="s">
        <v>75</v>
      </c>
      <c r="G6" s="21">
        <v>2759</v>
      </c>
      <c r="H6" s="21">
        <v>32</v>
      </c>
      <c r="I6" s="4">
        <f t="shared" si="0"/>
        <v>1.1598405219282348E-2</v>
      </c>
    </row>
    <row r="7" spans="1:9" x14ac:dyDescent="0.3">
      <c r="A7" s="5" t="s">
        <v>76</v>
      </c>
      <c r="B7" s="5" t="s">
        <v>67</v>
      </c>
      <c r="C7" s="5" t="s">
        <v>77</v>
      </c>
      <c r="D7" s="5" t="s">
        <v>78</v>
      </c>
      <c r="E7" s="5" t="s">
        <v>60</v>
      </c>
      <c r="F7" s="5" t="s">
        <v>79</v>
      </c>
      <c r="G7" s="21">
        <v>894</v>
      </c>
      <c r="H7" s="21">
        <v>9</v>
      </c>
      <c r="I7" s="4">
        <f t="shared" si="0"/>
        <v>1.0067114093959731E-2</v>
      </c>
    </row>
    <row r="8" spans="1:9" x14ac:dyDescent="0.3">
      <c r="A8" s="5" t="s">
        <v>80</v>
      </c>
      <c r="B8" s="5" t="s">
        <v>72</v>
      </c>
      <c r="C8" s="5" t="s">
        <v>73</v>
      </c>
      <c r="D8" s="5" t="s">
        <v>74</v>
      </c>
      <c r="E8" s="5" t="s">
        <v>57</v>
      </c>
      <c r="F8" s="5" t="s">
        <v>81</v>
      </c>
      <c r="G8" s="21">
        <v>701</v>
      </c>
      <c r="H8" s="21">
        <v>7</v>
      </c>
      <c r="I8" s="4">
        <f t="shared" si="0"/>
        <v>9.9857346647646214E-3</v>
      </c>
    </row>
    <row r="9" spans="1:9" x14ac:dyDescent="0.3">
      <c r="A9" s="5" t="s">
        <v>82</v>
      </c>
      <c r="B9" s="5" t="s">
        <v>67</v>
      </c>
      <c r="C9" s="5" t="s">
        <v>68</v>
      </c>
      <c r="D9" s="5" t="s">
        <v>69</v>
      </c>
      <c r="E9" s="5" t="s">
        <v>60</v>
      </c>
      <c r="F9" s="5" t="s">
        <v>83</v>
      </c>
      <c r="G9" s="21">
        <v>224</v>
      </c>
      <c r="H9" s="21">
        <v>4</v>
      </c>
      <c r="I9" s="4">
        <f t="shared" si="0"/>
        <v>1.7857142857142856E-2</v>
      </c>
    </row>
    <row r="10" spans="1:9" x14ac:dyDescent="0.3">
      <c r="A10" s="5" t="s">
        <v>84</v>
      </c>
      <c r="B10" s="5" t="s">
        <v>72</v>
      </c>
      <c r="C10" s="5" t="s">
        <v>85</v>
      </c>
      <c r="D10" s="5" t="s">
        <v>86</v>
      </c>
      <c r="E10" s="5" t="s">
        <v>60</v>
      </c>
      <c r="F10" s="5" t="s">
        <v>87</v>
      </c>
      <c r="G10" s="21">
        <v>5051</v>
      </c>
      <c r="H10" s="21">
        <v>54</v>
      </c>
      <c r="I10" s="4">
        <f t="shared" si="0"/>
        <v>1.0690952286675905E-2</v>
      </c>
    </row>
    <row r="11" spans="1:9" x14ac:dyDescent="0.3">
      <c r="A11" s="5" t="s">
        <v>88</v>
      </c>
      <c r="B11" s="5" t="s">
        <v>72</v>
      </c>
      <c r="C11" s="5" t="s">
        <v>85</v>
      </c>
      <c r="D11" s="5" t="s">
        <v>86</v>
      </c>
      <c r="E11" s="5" t="s">
        <v>57</v>
      </c>
      <c r="F11" s="5" t="s">
        <v>89</v>
      </c>
      <c r="G11" s="21">
        <v>167</v>
      </c>
      <c r="H11" s="21">
        <v>2</v>
      </c>
      <c r="I11" s="4">
        <f t="shared" si="0"/>
        <v>1.1976047904191617E-2</v>
      </c>
    </row>
    <row r="12" spans="1:9" x14ac:dyDescent="0.3">
      <c r="A12" s="5" t="s">
        <v>90</v>
      </c>
      <c r="B12" s="5" t="s">
        <v>54</v>
      </c>
      <c r="C12" s="5" t="s">
        <v>63</v>
      </c>
      <c r="D12" s="5" t="s">
        <v>64</v>
      </c>
      <c r="E12" s="5" t="s">
        <v>60</v>
      </c>
      <c r="F12" s="5" t="s">
        <v>91</v>
      </c>
      <c r="G12" s="21">
        <v>507</v>
      </c>
      <c r="H12" s="21">
        <v>9</v>
      </c>
      <c r="I12" s="4">
        <f t="shared" si="0"/>
        <v>1.7751479289940829E-2</v>
      </c>
    </row>
    <row r="14" spans="1:9" x14ac:dyDescent="0.3">
      <c r="A14" s="6" t="s">
        <v>19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26" customWidth="1"/>
    <col min="2" max="2" width="24" customWidth="1"/>
    <col min="3" max="3" width="8" customWidth="1"/>
    <col min="4" max="4" width="10" customWidth="1"/>
    <col min="5" max="5" width="8" customWidth="1"/>
    <col min="6" max="6" width="10" customWidth="1"/>
  </cols>
  <sheetData>
    <row r="1" spans="1:6" x14ac:dyDescent="0.3">
      <c r="A1" s="7" t="s">
        <v>50</v>
      </c>
      <c r="B1" s="7" t="s">
        <v>20</v>
      </c>
      <c r="C1" s="7" t="s">
        <v>92</v>
      </c>
      <c r="D1" s="7" t="s">
        <v>1</v>
      </c>
      <c r="E1" s="7" t="s">
        <v>2</v>
      </c>
      <c r="F1" s="7" t="s">
        <v>3</v>
      </c>
    </row>
    <row r="2" spans="1:6" x14ac:dyDescent="0.3">
      <c r="A2" s="5" t="s">
        <v>68</v>
      </c>
      <c r="B2" s="5" t="s">
        <v>69</v>
      </c>
      <c r="C2" s="5" t="s">
        <v>93</v>
      </c>
      <c r="D2" s="21">
        <v>1905</v>
      </c>
      <c r="E2" s="21">
        <v>39</v>
      </c>
      <c r="F2" s="4">
        <f t="shared" ref="F2:F13" si="0">IFERROR(E2/D2,0)</f>
        <v>2.0472440944881889E-2</v>
      </c>
    </row>
    <row r="3" spans="1:6" x14ac:dyDescent="0.3">
      <c r="A3" s="5" t="s">
        <v>68</v>
      </c>
      <c r="B3" s="5" t="s">
        <v>69</v>
      </c>
      <c r="C3" s="5" t="s">
        <v>94</v>
      </c>
      <c r="D3" s="21">
        <v>65</v>
      </c>
      <c r="E3" s="21">
        <v>2</v>
      </c>
      <c r="F3" s="4">
        <f t="shared" si="0"/>
        <v>3.0769230769230771E-2</v>
      </c>
    </row>
    <row r="4" spans="1:6" x14ac:dyDescent="0.3">
      <c r="A4" s="5" t="s">
        <v>77</v>
      </c>
      <c r="B4" s="5" t="s">
        <v>78</v>
      </c>
      <c r="C4" s="5" t="s">
        <v>93</v>
      </c>
      <c r="D4" s="21">
        <v>820</v>
      </c>
      <c r="E4" s="21">
        <v>8</v>
      </c>
      <c r="F4" s="4">
        <f t="shared" si="0"/>
        <v>9.7560975609756097E-3</v>
      </c>
    </row>
    <row r="5" spans="1:6" x14ac:dyDescent="0.3">
      <c r="A5" s="5" t="s">
        <v>77</v>
      </c>
      <c r="B5" s="5" t="s">
        <v>78</v>
      </c>
      <c r="C5" s="5" t="s">
        <v>94</v>
      </c>
      <c r="D5" s="21">
        <v>74</v>
      </c>
      <c r="E5" s="21">
        <v>1</v>
      </c>
      <c r="F5" s="4">
        <f t="shared" si="0"/>
        <v>1.3513513513513514E-2</v>
      </c>
    </row>
    <row r="6" spans="1:6" x14ac:dyDescent="0.3">
      <c r="A6" s="5" t="s">
        <v>63</v>
      </c>
      <c r="B6" s="5" t="s">
        <v>64</v>
      </c>
      <c r="C6" s="5" t="s">
        <v>93</v>
      </c>
      <c r="D6" s="21">
        <v>473</v>
      </c>
      <c r="E6" s="21">
        <v>10</v>
      </c>
      <c r="F6" s="4">
        <f t="shared" si="0"/>
        <v>2.1141649048625793E-2</v>
      </c>
    </row>
    <row r="7" spans="1:6" x14ac:dyDescent="0.3">
      <c r="A7" s="5" t="s">
        <v>63</v>
      </c>
      <c r="B7" s="5" t="s">
        <v>64</v>
      </c>
      <c r="C7" s="5" t="s">
        <v>94</v>
      </c>
      <c r="D7" s="21">
        <v>60</v>
      </c>
      <c r="E7" s="21">
        <v>0</v>
      </c>
      <c r="F7" s="4">
        <f t="shared" si="0"/>
        <v>0</v>
      </c>
    </row>
    <row r="8" spans="1:6" x14ac:dyDescent="0.3">
      <c r="A8" s="5" t="s">
        <v>55</v>
      </c>
      <c r="B8" s="5" t="s">
        <v>56</v>
      </c>
      <c r="C8" s="5" t="s">
        <v>93</v>
      </c>
      <c r="D8" s="21">
        <v>811</v>
      </c>
      <c r="E8" s="21">
        <v>11</v>
      </c>
      <c r="F8" s="4">
        <f t="shared" si="0"/>
        <v>1.3563501849568433E-2</v>
      </c>
    </row>
    <row r="9" spans="1:6" x14ac:dyDescent="0.3">
      <c r="A9" s="5" t="s">
        <v>55</v>
      </c>
      <c r="B9" s="5" t="s">
        <v>56</v>
      </c>
      <c r="C9" s="5" t="s">
        <v>94</v>
      </c>
      <c r="D9" s="21">
        <v>58</v>
      </c>
      <c r="E9" s="21">
        <v>1</v>
      </c>
      <c r="F9" s="4">
        <f t="shared" si="0"/>
        <v>1.7241379310344827E-2</v>
      </c>
    </row>
    <row r="10" spans="1:6" x14ac:dyDescent="0.3">
      <c r="A10" s="5" t="s">
        <v>73</v>
      </c>
      <c r="B10" s="5" t="s">
        <v>74</v>
      </c>
      <c r="C10" s="5" t="s">
        <v>93</v>
      </c>
      <c r="D10" s="21">
        <v>3149</v>
      </c>
      <c r="E10" s="21">
        <v>35</v>
      </c>
      <c r="F10" s="4">
        <f t="shared" si="0"/>
        <v>1.1114639568116862E-2</v>
      </c>
    </row>
    <row r="11" spans="1:6" x14ac:dyDescent="0.3">
      <c r="A11" s="5" t="s">
        <v>73</v>
      </c>
      <c r="B11" s="5" t="s">
        <v>74</v>
      </c>
      <c r="C11" s="5" t="s">
        <v>94</v>
      </c>
      <c r="D11" s="21">
        <v>314</v>
      </c>
      <c r="E11" s="21">
        <v>4</v>
      </c>
      <c r="F11" s="4">
        <f t="shared" si="0"/>
        <v>1.2738853503184714E-2</v>
      </c>
    </row>
    <row r="12" spans="1:6" x14ac:dyDescent="0.3">
      <c r="A12" s="5" t="s">
        <v>85</v>
      </c>
      <c r="B12" s="5" t="s">
        <v>86</v>
      </c>
      <c r="C12" s="5" t="s">
        <v>93</v>
      </c>
      <c r="D12" s="21">
        <v>4881</v>
      </c>
      <c r="E12" s="21">
        <v>51</v>
      </c>
      <c r="F12" s="4">
        <f t="shared" si="0"/>
        <v>1.0448678549477565E-2</v>
      </c>
    </row>
    <row r="13" spans="1:6" x14ac:dyDescent="0.3">
      <c r="A13" s="5" t="s">
        <v>85</v>
      </c>
      <c r="B13" s="5" t="s">
        <v>86</v>
      </c>
      <c r="C13" s="5" t="s">
        <v>94</v>
      </c>
      <c r="D13" s="21">
        <v>338</v>
      </c>
      <c r="E13" s="21">
        <v>5</v>
      </c>
      <c r="F13" s="4">
        <f t="shared" si="0"/>
        <v>1.4792899408284023E-2</v>
      </c>
    </row>
    <row r="15" spans="1:6" x14ac:dyDescent="0.3">
      <c r="A15" s="2" t="s">
        <v>95</v>
      </c>
    </row>
    <row r="16" spans="1:6" x14ac:dyDescent="0.3">
      <c r="C16" s="5" t="s">
        <v>93</v>
      </c>
      <c r="D16" s="22">
        <f>SUMIFS(D2:D13,C2:C13,C16)</f>
        <v>12039</v>
      </c>
      <c r="E16" s="22">
        <f>SUMIFS(E2:E13,C2:C13,C16)</f>
        <v>154</v>
      </c>
      <c r="F16" s="4">
        <f>IFERROR(E16/D16,0)</f>
        <v>1.2791760112966193E-2</v>
      </c>
    </row>
    <row r="17" spans="1:6" x14ac:dyDescent="0.3">
      <c r="C17" s="5" t="s">
        <v>94</v>
      </c>
      <c r="D17" s="22">
        <f>SUMIFS(D2:D13,C2:C13,C17)</f>
        <v>909</v>
      </c>
      <c r="E17" s="22">
        <f>SUMIFS(E2:E13,C2:C13,C17)</f>
        <v>13</v>
      </c>
      <c r="F17" s="4">
        <f>IFERROR(E17/D17,0)</f>
        <v>1.4301430143014302E-2</v>
      </c>
    </row>
    <row r="19" spans="1:6" x14ac:dyDescent="0.3">
      <c r="A19" s="6" t="s">
        <v>96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"/>
  <cols>
    <col min="1" max="1" width="12" customWidth="1"/>
    <col min="2" max="2" width="26" customWidth="1"/>
    <col min="3" max="3" width="24" customWidth="1"/>
    <col min="4" max="4" width="10" customWidth="1"/>
    <col min="5" max="5" width="8" customWidth="1"/>
    <col min="6" max="6" width="10" customWidth="1"/>
  </cols>
  <sheetData>
    <row r="1" spans="1:6" x14ac:dyDescent="0.3">
      <c r="A1" s="7" t="s">
        <v>97</v>
      </c>
      <c r="B1" s="7" t="s">
        <v>50</v>
      </c>
      <c r="C1" s="7" t="s">
        <v>20</v>
      </c>
      <c r="D1" s="7" t="s">
        <v>1</v>
      </c>
      <c r="E1" s="7" t="s">
        <v>2</v>
      </c>
      <c r="F1" s="7" t="s">
        <v>3</v>
      </c>
    </row>
    <row r="2" spans="1:6" x14ac:dyDescent="0.3">
      <c r="A2" s="5" t="s">
        <v>98</v>
      </c>
      <c r="B2" s="5" t="s">
        <v>77</v>
      </c>
      <c r="C2" s="5" t="s">
        <v>78</v>
      </c>
      <c r="D2" s="21">
        <v>856</v>
      </c>
      <c r="E2" s="21">
        <v>9</v>
      </c>
      <c r="F2" s="4">
        <f t="shared" ref="F2:F14" si="0">IFERROR(E2/D2,0)</f>
        <v>1.0514018691588784E-2</v>
      </c>
    </row>
    <row r="3" spans="1:6" x14ac:dyDescent="0.3">
      <c r="A3" s="5" t="s">
        <v>98</v>
      </c>
      <c r="B3" s="5" t="s">
        <v>73</v>
      </c>
      <c r="C3" s="5" t="s">
        <v>74</v>
      </c>
      <c r="D3" s="21">
        <v>2521</v>
      </c>
      <c r="E3" s="21">
        <v>28</v>
      </c>
      <c r="F3" s="4">
        <f t="shared" si="0"/>
        <v>1.1106703689012296E-2</v>
      </c>
    </row>
    <row r="4" spans="1:6" x14ac:dyDescent="0.3">
      <c r="A4" s="5" t="s">
        <v>99</v>
      </c>
      <c r="B4" s="5" t="s">
        <v>68</v>
      </c>
      <c r="C4" s="5" t="s">
        <v>69</v>
      </c>
      <c r="D4" s="21">
        <v>77</v>
      </c>
      <c r="E4" s="21">
        <v>1</v>
      </c>
      <c r="F4" s="4">
        <f t="shared" si="0"/>
        <v>1.2987012987012988E-2</v>
      </c>
    </row>
    <row r="5" spans="1:6" x14ac:dyDescent="0.3">
      <c r="A5" s="5" t="s">
        <v>99</v>
      </c>
      <c r="B5" s="5" t="s">
        <v>77</v>
      </c>
      <c r="C5" s="5" t="s">
        <v>78</v>
      </c>
      <c r="D5" s="21">
        <v>38</v>
      </c>
      <c r="E5" s="21">
        <v>0</v>
      </c>
      <c r="F5" s="4">
        <f t="shared" si="0"/>
        <v>0</v>
      </c>
    </row>
    <row r="6" spans="1:6" x14ac:dyDescent="0.3">
      <c r="A6" s="5" t="s">
        <v>99</v>
      </c>
      <c r="B6" s="5" t="s">
        <v>63</v>
      </c>
      <c r="C6" s="5" t="s">
        <v>64</v>
      </c>
      <c r="D6" s="21">
        <v>480</v>
      </c>
      <c r="E6" s="21">
        <v>7</v>
      </c>
      <c r="F6" s="4">
        <f t="shared" si="0"/>
        <v>1.4583333333333334E-2</v>
      </c>
    </row>
    <row r="7" spans="1:6" x14ac:dyDescent="0.3">
      <c r="A7" s="5" t="s">
        <v>99</v>
      </c>
      <c r="B7" s="5" t="s">
        <v>55</v>
      </c>
      <c r="C7" s="5" t="s">
        <v>56</v>
      </c>
      <c r="D7" s="21">
        <v>863</v>
      </c>
      <c r="E7" s="21">
        <v>11</v>
      </c>
      <c r="F7" s="4">
        <f t="shared" si="0"/>
        <v>1.2746234067207415E-2</v>
      </c>
    </row>
    <row r="8" spans="1:6" x14ac:dyDescent="0.3">
      <c r="A8" s="5" t="s">
        <v>99</v>
      </c>
      <c r="B8" s="5" t="s">
        <v>73</v>
      </c>
      <c r="C8" s="5" t="s">
        <v>74</v>
      </c>
      <c r="D8" s="21">
        <v>83</v>
      </c>
      <c r="E8" s="21">
        <v>2</v>
      </c>
      <c r="F8" s="4">
        <f t="shared" si="0"/>
        <v>2.4096385542168676E-2</v>
      </c>
    </row>
    <row r="9" spans="1:6" x14ac:dyDescent="0.3">
      <c r="A9" s="5" t="s">
        <v>99</v>
      </c>
      <c r="B9" s="5" t="s">
        <v>85</v>
      </c>
      <c r="C9" s="5" t="s">
        <v>86</v>
      </c>
      <c r="D9" s="21">
        <v>4464</v>
      </c>
      <c r="E9" s="21">
        <v>42</v>
      </c>
      <c r="F9" s="4">
        <f t="shared" si="0"/>
        <v>9.4086021505376347E-3</v>
      </c>
    </row>
    <row r="10" spans="1:6" x14ac:dyDescent="0.3">
      <c r="A10" s="5" t="s">
        <v>100</v>
      </c>
      <c r="B10" s="5" t="s">
        <v>68</v>
      </c>
      <c r="C10" s="5" t="s">
        <v>69</v>
      </c>
      <c r="D10" s="21">
        <v>1893</v>
      </c>
      <c r="E10" s="21">
        <v>40</v>
      </c>
      <c r="F10" s="4">
        <f t="shared" si="0"/>
        <v>2.1130480718436345E-2</v>
      </c>
    </row>
    <row r="11" spans="1:6" x14ac:dyDescent="0.3">
      <c r="A11" s="5" t="s">
        <v>100</v>
      </c>
      <c r="B11" s="5" t="s">
        <v>63</v>
      </c>
      <c r="C11" s="5" t="s">
        <v>64</v>
      </c>
      <c r="D11" s="21">
        <v>53</v>
      </c>
      <c r="E11" s="21">
        <v>3</v>
      </c>
      <c r="F11" s="4">
        <f t="shared" si="0"/>
        <v>5.6603773584905662E-2</v>
      </c>
    </row>
    <row r="12" spans="1:6" x14ac:dyDescent="0.3">
      <c r="A12" s="5" t="s">
        <v>100</v>
      </c>
      <c r="B12" s="5" t="s">
        <v>55</v>
      </c>
      <c r="C12" s="5" t="s">
        <v>56</v>
      </c>
      <c r="D12" s="21">
        <v>6</v>
      </c>
      <c r="E12" s="21">
        <v>1</v>
      </c>
      <c r="F12" s="4">
        <f t="shared" si="0"/>
        <v>0.16666666666666666</v>
      </c>
    </row>
    <row r="13" spans="1:6" x14ac:dyDescent="0.3">
      <c r="A13" s="5" t="s">
        <v>100</v>
      </c>
      <c r="B13" s="5" t="s">
        <v>73</v>
      </c>
      <c r="C13" s="5" t="s">
        <v>74</v>
      </c>
      <c r="D13" s="21">
        <v>859</v>
      </c>
      <c r="E13" s="21">
        <v>9</v>
      </c>
      <c r="F13" s="4">
        <f t="shared" si="0"/>
        <v>1.0477299185098952E-2</v>
      </c>
    </row>
    <row r="14" spans="1:6" x14ac:dyDescent="0.3">
      <c r="A14" s="5" t="s">
        <v>100</v>
      </c>
      <c r="B14" s="5" t="s">
        <v>85</v>
      </c>
      <c r="C14" s="5" t="s">
        <v>86</v>
      </c>
      <c r="D14" s="21">
        <v>755</v>
      </c>
      <c r="E14" s="21">
        <v>14</v>
      </c>
      <c r="F14" s="4">
        <f t="shared" si="0"/>
        <v>1.8543046357615896E-2</v>
      </c>
    </row>
    <row r="16" spans="1:6" x14ac:dyDescent="0.3">
      <c r="A16" s="6" t="s">
        <v>101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總覽</vt:lpstr>
      <vt:lpstr>意圖樹</vt:lpstr>
      <vt:lpstr>每則廣告</vt:lpstr>
      <vt:lpstr>裝置拆分</vt:lpstr>
      <vt:lpstr>每日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Huang</cp:lastModifiedBy>
  <dcterms:created xsi:type="dcterms:W3CDTF">2026-10-15T02:05:32Z</dcterms:created>
  <dcterms:modified xsi:type="dcterms:W3CDTF">2026-10-15T02:07:59Z</dcterms:modified>
</cp:coreProperties>
</file>